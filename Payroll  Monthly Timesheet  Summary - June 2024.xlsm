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BB04FCFE-0480-4048-9369-59A47FAADCC5}" xr6:coauthVersionLast="47" xr6:coauthVersionMax="47" xr10:uidLastSave="{00000000-0000-0000-0000-000000000000}"/>
  <bookViews>
    <workbookView xWindow="28680" yWindow="-120" windowWidth="29040" windowHeight="15840" xr2:uid="{4760DEB7-FF71-45E6-8F3C-D746E9998610}"/>
  </bookViews>
  <sheets>
    <sheet name="Main" sheetId="1" r:id="rId1"/>
  </sheets>
  <definedNames>
    <definedName name="_xlnm.Print_Titles" localSheetId="0">Main!$1:$3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2" i="1" l="1"/>
  <c r="J23" i="1"/>
  <c r="J24" i="1"/>
  <c r="J25" i="1"/>
  <c r="J26" i="1"/>
  <c r="J27" i="1" l="1"/>
  <c r="J21" i="1"/>
  <c r="J17" i="1"/>
  <c r="J16" i="1"/>
  <c r="J14" i="1"/>
  <c r="J12" i="1"/>
  <c r="J10" i="1"/>
  <c r="J8" i="1"/>
  <c r="J5" i="1"/>
  <c r="J4" i="1"/>
  <c r="R29" i="1" l="1"/>
  <c r="R31" i="1" s="1"/>
  <c r="K29" i="1"/>
  <c r="K31" i="1" s="1"/>
  <c r="L29" i="1" l="1"/>
  <c r="L31" i="1" s="1"/>
  <c r="M29" i="1"/>
  <c r="M31" i="1" s="1"/>
  <c r="N29" i="1"/>
  <c r="N31" i="1" s="1"/>
  <c r="O29" i="1"/>
  <c r="O31" i="1" s="1"/>
  <c r="P29" i="1"/>
  <c r="P31" i="1" s="1"/>
  <c r="Q29" i="1"/>
  <c r="Q31" i="1" s="1"/>
  <c r="S29" i="1"/>
  <c r="S31" i="1" s="1"/>
  <c r="T29" i="1"/>
  <c r="T31" i="1" s="1"/>
  <c r="C40" i="1"/>
  <c r="D40" i="1"/>
  <c r="J29" i="1" l="1"/>
  <c r="J31" i="1" s="1"/>
  <c r="C37" i="1"/>
  <c r="D37" i="1"/>
  <c r="D41" i="1" l="1"/>
  <c r="C41" i="1"/>
  <c r="D39" i="1"/>
  <c r="C39" i="1"/>
  <c r="D38" i="1"/>
  <c r="C38" i="1"/>
  <c r="D36" i="1"/>
  <c r="C36" i="1"/>
</calcChain>
</file>

<file path=xl/sharedStrings.xml><?xml version="1.0" encoding="utf-8"?>
<sst xmlns="http://schemas.openxmlformats.org/spreadsheetml/2006/main" count="102" uniqueCount="72">
  <si>
    <t>EMPLOYEE</t>
  </si>
  <si>
    <t>Start date</t>
  </si>
  <si>
    <t>No. Yrs</t>
  </si>
  <si>
    <t>STD HRS</t>
  </si>
  <si>
    <t>LSL Hours</t>
  </si>
  <si>
    <t>Normal Hours</t>
  </si>
  <si>
    <t>CASUAL</t>
  </si>
  <si>
    <t>Horrigan</t>
  </si>
  <si>
    <t>Jones</t>
  </si>
  <si>
    <t>LeStrange</t>
  </si>
  <si>
    <t>Lee</t>
  </si>
  <si>
    <t>Manchanayake</t>
  </si>
  <si>
    <t>Moeun</t>
  </si>
  <si>
    <t>Micallef</t>
  </si>
  <si>
    <t>Rose</t>
  </si>
  <si>
    <t>Simpson</t>
  </si>
  <si>
    <t>Days p/w</t>
  </si>
  <si>
    <t>Annual  Leave</t>
  </si>
  <si>
    <t>No</t>
  </si>
  <si>
    <t>Category</t>
  </si>
  <si>
    <t>SALARY</t>
  </si>
  <si>
    <t>PART-TIME</t>
  </si>
  <si>
    <t>O/T 1.0</t>
  </si>
  <si>
    <t>O/T 1.5</t>
  </si>
  <si>
    <t>FULL-TIME</t>
  </si>
  <si>
    <t>Bevan</t>
  </si>
  <si>
    <t>Reardon</t>
  </si>
  <si>
    <t>Holiday pay</t>
  </si>
  <si>
    <t>Sick Pay</t>
  </si>
  <si>
    <t>Base Hrly</t>
  </si>
  <si>
    <t>Accrual Hrs</t>
  </si>
  <si>
    <t>Miller</t>
  </si>
  <si>
    <t xml:space="preserve">Piva </t>
  </si>
  <si>
    <t>LSL Leave</t>
  </si>
  <si>
    <t>Doughty</t>
  </si>
  <si>
    <t>First Aid Allow</t>
  </si>
  <si>
    <t>Doherty</t>
  </si>
  <si>
    <t>Sor</t>
  </si>
  <si>
    <t>Watson</t>
  </si>
  <si>
    <t>El Khoury</t>
  </si>
  <si>
    <t>H</t>
  </si>
  <si>
    <t>J</t>
  </si>
  <si>
    <t>L</t>
  </si>
  <si>
    <t>M</t>
  </si>
  <si>
    <t>S</t>
  </si>
  <si>
    <t>C</t>
  </si>
  <si>
    <t>V</t>
  </si>
  <si>
    <t>N</t>
  </si>
  <si>
    <t>A</t>
  </si>
  <si>
    <t>T</t>
  </si>
  <si>
    <t>R</t>
  </si>
  <si>
    <t>P</t>
  </si>
  <si>
    <t>D</t>
  </si>
  <si>
    <t>LWOP</t>
  </si>
  <si>
    <t>Falzado</t>
  </si>
  <si>
    <t>Jogia</t>
  </si>
  <si>
    <t>Darshika</t>
  </si>
  <si>
    <t>Travel @85c per km</t>
  </si>
  <si>
    <t xml:space="preserve">Mao </t>
  </si>
  <si>
    <t>F</t>
  </si>
  <si>
    <t>Sekuljica</t>
  </si>
  <si>
    <t>Car Allow</t>
  </si>
  <si>
    <t>Compass Leave</t>
  </si>
  <si>
    <t>As per excel Timesheet Summary</t>
  </si>
  <si>
    <t>Difference</t>
  </si>
  <si>
    <t>As per MYOB Payrun Activity Report</t>
  </si>
  <si>
    <t>Bonus</t>
  </si>
  <si>
    <t>PAYROLL TIMESHEET - Month of April 2024</t>
  </si>
  <si>
    <t>Emmanuel</t>
  </si>
  <si>
    <t>Payment date:  30 April 2024</t>
  </si>
  <si>
    <t>Personal/Sick Leave</t>
  </si>
  <si>
    <t>Took AL: 8 days in May and 2 days in April. Leave bal only 2.5 hours. Allowed 5 days to go in negative so paid AL for 40 hours. 35 hours is unpaid leave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</si>
</sst>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;[Red]\-&quot;$&quot;#,##0"/>
    <numFmt numFmtId="8" formatCode="&quot;$&quot;#,##0.00;[Red]\-&quot;$&quot;#,##0.00"/>
    <numFmt numFmtId="164" formatCode="0.0"/>
    <numFmt numFmtId="165" formatCode="#,##0.0;[Red]\-#,##0.0;&quot;-&quot;"/>
    <numFmt numFmtId="166" formatCode="&quot;$&quot;#,##0"/>
    <numFmt numFmtId="167" formatCode="#,##0.000;[Red]\-#,##0.000;&quot;-&quot;"/>
    <numFmt numFmtId="168" formatCode="#,##0.00;[Red]\-#,##0.00;&quot;-&quot;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2" fillId="0" borderId="0" xfId="0" applyFont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15" fontId="1" fillId="0" borderId="4" xfId="0" applyNumberFormat="1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vertical="center" wrapText="1"/>
    </xf>
    <xf numFmtId="15" fontId="1" fillId="0" borderId="5" xfId="0" applyNumberFormat="1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right" vertical="center" wrapText="1"/>
    </xf>
    <xf numFmtId="0" fontId="1" fillId="0" borderId="4" xfId="0" applyFont="1" applyBorder="1" applyAlignment="1">
      <alignment horizontal="right" vertical="center" wrapText="1"/>
    </xf>
    <xf numFmtId="164" fontId="1" fillId="0" borderId="4" xfId="0" applyNumberFormat="1" applyFont="1" applyBorder="1" applyAlignment="1">
      <alignment horizontal="right" vertical="center" wrapText="1"/>
    </xf>
    <xf numFmtId="0" fontId="1" fillId="0" borderId="5" xfId="0" applyFont="1" applyBorder="1" applyAlignment="1">
      <alignment horizontal="right" vertical="center" wrapText="1"/>
    </xf>
    <xf numFmtId="0" fontId="3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0" fillId="2" borderId="4" xfId="0" applyFill="1" applyBorder="1"/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horizontal="left" vertical="center" wrapText="1"/>
    </xf>
    <xf numFmtId="15" fontId="1" fillId="0" borderId="7" xfId="0" applyNumberFormat="1" applyFont="1" applyBorder="1" applyAlignment="1">
      <alignment horizontal="center" vertical="center" wrapText="1"/>
    </xf>
    <xf numFmtId="0" fontId="5" fillId="0" borderId="0" xfId="0" applyFont="1"/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/>
    </xf>
    <xf numFmtId="2" fontId="6" fillId="0" borderId="0" xfId="0" applyNumberFormat="1" applyFont="1" applyAlignment="1">
      <alignment horizontal="right"/>
    </xf>
    <xf numFmtId="2" fontId="0" fillId="0" borderId="0" xfId="0" applyNumberFormat="1"/>
    <xf numFmtId="164" fontId="1" fillId="0" borderId="6" xfId="0" applyNumberFormat="1" applyFont="1" applyBorder="1" applyAlignment="1">
      <alignment horizontal="right" vertical="center" wrapText="1"/>
    </xf>
    <xf numFmtId="0" fontId="4" fillId="0" borderId="0" xfId="0" applyFont="1"/>
    <xf numFmtId="15" fontId="1" fillId="0" borderId="4" xfId="0" applyNumberFormat="1" applyFont="1" applyBorder="1" applyAlignment="1">
      <alignment horizontal="center" vertical="center"/>
    </xf>
    <xf numFmtId="0" fontId="0" fillId="0" borderId="9" xfId="0" applyBorder="1" applyAlignment="1">
      <alignment vertical="center" wrapText="1"/>
    </xf>
    <xf numFmtId="15" fontId="1" fillId="0" borderId="9" xfId="0" applyNumberFormat="1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1" fillId="0" borderId="10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64" fontId="1" fillId="0" borderId="9" xfId="0" applyNumberFormat="1" applyFont="1" applyBorder="1" applyAlignment="1">
      <alignment horizontal="right" vertical="center" wrapText="1"/>
    </xf>
    <xf numFmtId="15" fontId="1" fillId="0" borderId="9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" fillId="2" borderId="4" xfId="0" applyFont="1" applyFill="1" applyBorder="1" applyAlignment="1">
      <alignment horizontal="right" vertical="center" wrapText="1"/>
    </xf>
    <xf numFmtId="0" fontId="7" fillId="0" borderId="0" xfId="0" applyFont="1" applyAlignment="1">
      <alignment vertical="center"/>
    </xf>
    <xf numFmtId="0" fontId="8" fillId="0" borderId="0" xfId="0" applyFont="1"/>
    <xf numFmtId="0" fontId="9" fillId="0" borderId="0" xfId="0" applyFont="1"/>
    <xf numFmtId="0" fontId="0" fillId="2" borderId="6" xfId="0" applyFill="1" applyBorder="1" applyAlignment="1">
      <alignment horizontal="center" vertical="center" wrapText="1"/>
    </xf>
    <xf numFmtId="164" fontId="0" fillId="0" borderId="6" xfId="0" applyNumberFormat="1" applyBorder="1" applyAlignment="1">
      <alignment horizontal="center" vertical="center" wrapText="1"/>
    </xf>
    <xf numFmtId="0" fontId="0" fillId="2" borderId="4" xfId="0" applyFill="1" applyBorder="1" applyAlignment="1">
      <alignment vertical="center" wrapText="1"/>
    </xf>
    <xf numFmtId="0" fontId="0" fillId="2" borderId="9" xfId="0" applyFill="1" applyBorder="1" applyAlignment="1">
      <alignment vertical="center" wrapText="1"/>
    </xf>
    <xf numFmtId="6" fontId="0" fillId="0" borderId="4" xfId="0" applyNumberFormat="1" applyBorder="1" applyAlignment="1">
      <alignment horizontal="center" vertical="center" wrapText="1"/>
    </xf>
    <xf numFmtId="6" fontId="0" fillId="0" borderId="6" xfId="0" applyNumberFormat="1" applyBorder="1" applyAlignment="1">
      <alignment horizontal="center" vertical="center" wrapText="1"/>
    </xf>
    <xf numFmtId="0" fontId="10" fillId="2" borderId="4" xfId="0" applyFont="1" applyFill="1" applyBorder="1" applyAlignment="1">
      <alignment vertical="center" wrapText="1"/>
    </xf>
    <xf numFmtId="0" fontId="0" fillId="2" borderId="5" xfId="0" applyFill="1" applyBorder="1"/>
    <xf numFmtId="165" fontId="0" fillId="0" borderId="6" xfId="0" applyNumberFormat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164" fontId="0" fillId="2" borderId="4" xfId="0" applyNumberFormat="1" applyFill="1" applyBorder="1" applyAlignment="1">
      <alignment horizontal="center" vertical="center" wrapText="1"/>
    </xf>
    <xf numFmtId="0" fontId="0" fillId="2" borderId="9" xfId="0" applyFill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/>
    </xf>
    <xf numFmtId="0" fontId="0" fillId="2" borderId="5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8" fontId="0" fillId="0" borderId="4" xfId="0" applyNumberFormat="1" applyBorder="1" applyAlignment="1">
      <alignment vertical="center" wrapText="1"/>
    </xf>
    <xf numFmtId="165" fontId="0" fillId="0" borderId="12" xfId="0" applyNumberFormat="1" applyBorder="1" applyAlignment="1">
      <alignment horizontal="center" vertical="center" wrapText="1"/>
    </xf>
    <xf numFmtId="15" fontId="5" fillId="0" borderId="0" xfId="0" applyNumberFormat="1" applyFont="1" applyAlignment="1">
      <alignment horizontal="left" vertical="center"/>
    </xf>
    <xf numFmtId="167" fontId="0" fillId="0" borderId="6" xfId="0" applyNumberFormat="1" applyBorder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0" fillId="3" borderId="6" xfId="0" applyFill="1" applyBorder="1" applyAlignment="1">
      <alignment horizontal="center" vertical="center" wrapText="1"/>
    </xf>
    <xf numFmtId="164" fontId="0" fillId="2" borderId="8" xfId="0" applyNumberFormat="1" applyFill="1" applyBorder="1" applyAlignment="1">
      <alignment horizontal="center" vertical="center" wrapText="1"/>
    </xf>
    <xf numFmtId="165" fontId="0" fillId="0" borderId="4" xfId="0" applyNumberFormat="1" applyBorder="1" applyAlignment="1">
      <alignment horizontal="center" vertical="center" wrapText="1"/>
    </xf>
    <xf numFmtId="0" fontId="1" fillId="0" borderId="13" xfId="0" applyFont="1" applyBorder="1" applyAlignment="1">
      <alignment vertical="center"/>
    </xf>
    <xf numFmtId="0" fontId="1" fillId="0" borderId="0" xfId="0" applyFont="1"/>
    <xf numFmtId="0" fontId="3" fillId="0" borderId="3" xfId="0" applyFont="1" applyBorder="1" applyAlignment="1">
      <alignment horizontal="center" vertical="center" wrapText="1"/>
    </xf>
    <xf numFmtId="165" fontId="0" fillId="0" borderId="14" xfId="0" applyNumberFormat="1" applyBorder="1" applyAlignment="1">
      <alignment horizontal="center" vertical="center" wrapText="1"/>
    </xf>
    <xf numFmtId="0" fontId="0" fillId="3" borderId="14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165" fontId="0" fillId="0" borderId="15" xfId="0" applyNumberFormat="1" applyBorder="1" applyAlignment="1">
      <alignment horizontal="center" vertical="center" wrapText="1"/>
    </xf>
    <xf numFmtId="0" fontId="0" fillId="2" borderId="17" xfId="0" applyFill="1" applyBorder="1" applyAlignment="1">
      <alignment horizontal="center" vertical="center" wrapText="1"/>
    </xf>
    <xf numFmtId="0" fontId="11" fillId="0" borderId="0" xfId="0" applyFont="1"/>
    <xf numFmtId="168" fontId="0" fillId="0" borderId="17" xfId="0" applyNumberFormat="1" applyBorder="1" applyAlignment="1">
      <alignment horizontal="center" vertical="center" wrapText="1"/>
    </xf>
    <xf numFmtId="2" fontId="0" fillId="4" borderId="17" xfId="0" applyNumberFormat="1" applyFill="1" applyBorder="1" applyAlignment="1">
      <alignment horizontal="center" vertical="center" wrapText="1"/>
    </xf>
    <xf numFmtId="2" fontId="0" fillId="0" borderId="17" xfId="0" applyNumberFormat="1" applyBorder="1" applyAlignment="1">
      <alignment horizontal="center" vertical="center" wrapText="1"/>
    </xf>
    <xf numFmtId="2" fontId="0" fillId="4" borderId="18" xfId="0" applyNumberFormat="1" applyFill="1" applyBorder="1" applyAlignment="1">
      <alignment horizontal="center" vertical="center" wrapText="1"/>
    </xf>
    <xf numFmtId="2" fontId="0" fillId="2" borderId="17" xfId="0" applyNumberFormat="1" applyFill="1" applyBorder="1" applyAlignment="1">
      <alignment horizontal="center" vertical="center" wrapText="1"/>
    </xf>
    <xf numFmtId="2" fontId="0" fillId="4" borderId="16" xfId="0" applyNumberFormat="1" applyFill="1" applyBorder="1" applyAlignment="1">
      <alignment horizontal="center" vertical="center" wrapText="1"/>
    </xf>
    <xf numFmtId="0" fontId="5" fillId="0" borderId="0" xfId="0" applyFont="1" applyAlignment="1">
      <alignment wrapText="1"/>
    </xf>
    <xf numFmtId="0" fontId="1" fillId="5" borderId="6" xfId="0" applyFont="1" applyFill="1" applyBorder="1" applyAlignment="1">
      <alignment horizontal="left" vertical="center" wrapText="1"/>
    </xf>
    <xf numFmtId="0" fontId="1" fillId="5" borderId="4" xfId="0" applyFont="1" applyFill="1" applyBorder="1" applyAlignment="1">
      <alignment vertical="center" wrapText="1"/>
    </xf>
    <xf numFmtId="0" fontId="1" fillId="5" borderId="9" xfId="0" applyFont="1" applyFill="1" applyBorder="1" applyAlignment="1">
      <alignment vertical="center" wrapText="1"/>
    </xf>
    <xf numFmtId="2" fontId="0" fillId="0" borderId="6" xfId="0" applyNumberFormat="1" applyBorder="1" applyAlignment="1">
      <alignment horizontal="center" vertical="center" wrapText="1"/>
    </xf>
    <xf numFmtId="168" fontId="0" fillId="0" borderId="6" xfId="0" applyNumberFormat="1" applyBorder="1" applyAlignment="1">
      <alignment horizontal="center" vertical="center" wrapText="1"/>
    </xf>
    <xf numFmtId="168" fontId="0" fillId="0" borderId="12" xfId="0" applyNumberFormat="1" applyBorder="1" applyAlignment="1">
      <alignment horizontal="center" vertical="center" wrapText="1"/>
    </xf>
    <xf numFmtId="0" fontId="1" fillId="5" borderId="5" xfId="0" applyFont="1" applyFill="1" applyBorder="1" applyAlignment="1">
      <alignment vertical="center" wrapText="1"/>
    </xf>
    <xf numFmtId="0" fontId="3" fillId="0" borderId="0" xfId="0" applyFont="1" applyAlignment="1">
      <alignment vertical="center"/>
    </xf>
    <xf numFmtId="2" fontId="0" fillId="0" borderId="9" xfId="0" applyNumberFormat="1" applyBorder="1" applyAlignment="1">
      <alignment horizontal="center" vertical="center" wrapText="1"/>
    </xf>
    <xf numFmtId="2" fontId="0" fillId="0" borderId="4" xfId="0" applyNumberFormat="1" applyBorder="1" applyAlignment="1">
      <alignment horizontal="center" vertical="center" wrapText="1"/>
    </xf>
    <xf numFmtId="168" fontId="0" fillId="0" borderId="4" xfId="0" applyNumberFormat="1" applyBorder="1" applyAlignment="1">
      <alignment horizontal="center" vertical="center" wrapText="1"/>
    </xf>
    <xf numFmtId="2" fontId="0" fillId="0" borderId="5" xfId="0" applyNumberFormat="1" applyBorder="1" applyAlignment="1">
      <alignment horizontal="center"/>
    </xf>
    <xf numFmtId="2" fontId="1" fillId="0" borderId="0" xfId="0" applyNumberFormat="1" applyFont="1"/>
    <xf numFmtId="2" fontId="0" fillId="6" borderId="0" xfId="0" applyNumberFormat="1" applyFill="1" applyAlignment="1">
      <alignment horizontal="center"/>
    </xf>
    <xf numFmtId="166" fontId="0" fillId="6" borderId="0" xfId="0" applyNumberFormat="1" applyFill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9D08E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144780</xdr:colOff>
          <xdr:row>2</xdr:row>
          <xdr:rowOff>137160</xdr:rowOff>
        </xdr:from>
        <xdr:to>
          <xdr:col>23</xdr:col>
          <xdr:colOff>502920</xdr:colOff>
          <xdr:row>3</xdr:row>
          <xdr:rowOff>213360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09150-8F92-44D9-8518-7DC32C7F59A2}">
  <sheetPr codeName="Sheet1">
    <pageSetUpPr fitToPage="1"/>
  </sheetPr>
  <dimension ref="A1:W42"/>
  <sheetViews>
    <sheetView tabSelected="1" zoomScale="91" zoomScaleNormal="91" workbookViewId="0">
      <pane xSplit="1" ySplit="3" topLeftCell="B5" activePane="bottomRight" state="frozen"/>
      <selection pane="topRight" activeCell="B1" sqref="B1"/>
      <selection pane="bottomLeft" activeCell="A4" sqref="A4"/>
      <selection pane="bottomRight" activeCell="V9" sqref="V9"/>
    </sheetView>
  </sheetViews>
  <sheetFormatPr defaultRowHeight="14.4" x14ac:dyDescent="0.3"/>
  <cols>
    <col min="1" max="1" width="3.6640625" customWidth="1"/>
    <col min="2" max="2" width="14.44140625" customWidth="1"/>
    <col min="3" max="3" width="10.44140625" bestFit="1" customWidth="1"/>
    <col min="4" max="4" width="10" customWidth="1"/>
    <col min="5" max="5" width="5.109375" customWidth="1"/>
    <col min="6" max="6" width="11.109375" customWidth="1"/>
    <col min="7" max="7" width="6.5546875" customWidth="1"/>
    <col min="8" max="8" width="7.44140625" customWidth="1"/>
    <col min="9" max="9" width="6.5546875" customWidth="1"/>
    <col min="10" max="10" width="10.109375" customWidth="1"/>
    <col min="11" max="11" width="7" customWidth="1"/>
    <col min="12" max="12" width="7.5546875" bestFit="1" customWidth="1"/>
    <col min="13" max="13" width="7.5546875" customWidth="1"/>
    <col min="14" max="14" width="11" customWidth="1"/>
    <col min="15" max="15" width="7.88671875" customWidth="1"/>
    <col min="16" max="16" width="8.33203125" customWidth="1"/>
    <col min="17" max="18" width="9.33203125" customWidth="1"/>
    <col min="20" max="20" width="7" bestFit="1" customWidth="1"/>
    <col min="22" max="22" width="39.77734375" customWidth="1"/>
  </cols>
  <sheetData>
    <row r="1" spans="1:23" ht="18" x14ac:dyDescent="0.3">
      <c r="B1" s="40" t="s">
        <v>67</v>
      </c>
      <c r="E1" s="28"/>
      <c r="F1" s="42"/>
      <c r="G1" s="28"/>
      <c r="I1" s="1"/>
      <c r="M1" s="90" t="s">
        <v>69</v>
      </c>
      <c r="O1" s="41"/>
    </row>
    <row r="2" spans="1:23" ht="12" customHeight="1" thickBot="1" x14ac:dyDescent="0.35">
      <c r="B2" s="1"/>
    </row>
    <row r="3" spans="1:23" ht="47.4" thickBot="1" x14ac:dyDescent="0.35">
      <c r="A3" s="35" t="s">
        <v>18</v>
      </c>
      <c r="B3" s="98" t="s">
        <v>0</v>
      </c>
      <c r="C3" s="99"/>
      <c r="D3" s="13" t="s">
        <v>1</v>
      </c>
      <c r="E3" s="13" t="s">
        <v>2</v>
      </c>
      <c r="F3" s="13" t="s">
        <v>19</v>
      </c>
      <c r="G3" s="13" t="s">
        <v>16</v>
      </c>
      <c r="H3" s="13" t="s">
        <v>3</v>
      </c>
      <c r="I3" s="13" t="s">
        <v>4</v>
      </c>
      <c r="J3" s="13" t="s">
        <v>5</v>
      </c>
      <c r="K3" s="13" t="s">
        <v>61</v>
      </c>
      <c r="L3" s="13" t="s">
        <v>35</v>
      </c>
      <c r="M3" s="13" t="s">
        <v>22</v>
      </c>
      <c r="N3" s="13" t="s">
        <v>23</v>
      </c>
      <c r="O3" s="13" t="s">
        <v>57</v>
      </c>
      <c r="P3" s="13" t="s">
        <v>17</v>
      </c>
      <c r="Q3" s="13" t="s">
        <v>70</v>
      </c>
      <c r="R3" s="13" t="s">
        <v>62</v>
      </c>
      <c r="S3" s="13" t="s">
        <v>33</v>
      </c>
      <c r="T3" s="69" t="s">
        <v>53</v>
      </c>
      <c r="U3" s="13" t="s">
        <v>66</v>
      </c>
      <c r="V3" s="19"/>
      <c r="W3" s="19"/>
    </row>
    <row r="4" spans="1:23" ht="24.6" customHeight="1" x14ac:dyDescent="0.3">
      <c r="A4" s="34">
        <v>1</v>
      </c>
      <c r="B4" s="83" t="s">
        <v>25</v>
      </c>
      <c r="C4" s="17" t="s">
        <v>40</v>
      </c>
      <c r="D4" s="18">
        <v>43486</v>
      </c>
      <c r="E4" s="2">
        <v>5</v>
      </c>
      <c r="F4" s="20" t="s">
        <v>21</v>
      </c>
      <c r="G4" s="2">
        <v>3</v>
      </c>
      <c r="H4" s="27">
        <v>65</v>
      </c>
      <c r="I4" s="43"/>
      <c r="J4" s="44">
        <f>H4-P4-Q4-R4-S4-T4</f>
        <v>40</v>
      </c>
      <c r="K4" s="51"/>
      <c r="L4" s="43"/>
      <c r="M4" s="51">
        <v>0</v>
      </c>
      <c r="N4" s="86"/>
      <c r="O4" s="43"/>
      <c r="P4" s="51">
        <v>10</v>
      </c>
      <c r="Q4" s="51">
        <v>15</v>
      </c>
      <c r="R4" s="51"/>
      <c r="S4" s="33"/>
      <c r="T4" s="70">
        <v>0</v>
      </c>
      <c r="U4" s="81"/>
      <c r="V4" s="19"/>
      <c r="W4" s="19"/>
    </row>
    <row r="5" spans="1:23" ht="24.6" customHeight="1" x14ac:dyDescent="0.3">
      <c r="A5" s="34">
        <v>2</v>
      </c>
      <c r="B5" s="84" t="s">
        <v>56</v>
      </c>
      <c r="C5" s="14"/>
      <c r="D5" s="3">
        <v>44760</v>
      </c>
      <c r="E5" s="4">
        <v>1</v>
      </c>
      <c r="F5" s="20" t="s">
        <v>24</v>
      </c>
      <c r="G5" s="4">
        <v>5</v>
      </c>
      <c r="H5" s="11">
        <v>162.5</v>
      </c>
      <c r="I5" s="46"/>
      <c r="J5" s="44">
        <f>H5-P5-Q5-R5-S5-T5</f>
        <v>162.5</v>
      </c>
      <c r="K5" s="51"/>
      <c r="L5" s="53"/>
      <c r="M5" s="91"/>
      <c r="N5" s="87"/>
      <c r="O5" s="54"/>
      <c r="P5" s="51"/>
      <c r="Q5" s="51"/>
      <c r="R5" s="66"/>
      <c r="S5" s="54"/>
      <c r="T5" s="70">
        <v>0</v>
      </c>
      <c r="U5" s="77"/>
      <c r="V5" s="19"/>
      <c r="W5" s="19"/>
    </row>
    <row r="6" spans="1:23" ht="24.6" customHeight="1" x14ac:dyDescent="0.3">
      <c r="A6" s="34">
        <v>3</v>
      </c>
      <c r="B6" s="84" t="s">
        <v>36</v>
      </c>
      <c r="C6" s="14" t="s">
        <v>43</v>
      </c>
      <c r="D6" s="3">
        <v>44136</v>
      </c>
      <c r="E6" s="4">
        <v>3</v>
      </c>
      <c r="F6" s="2" t="s">
        <v>20</v>
      </c>
      <c r="G6" s="2">
        <v>5</v>
      </c>
      <c r="H6" s="9">
        <v>162.5</v>
      </c>
      <c r="I6" s="45"/>
      <c r="J6" s="44"/>
      <c r="K6" s="64"/>
      <c r="L6" s="33"/>
      <c r="M6" s="92"/>
      <c r="N6" s="20"/>
      <c r="O6" s="33"/>
      <c r="P6" s="51">
        <v>0</v>
      </c>
      <c r="Q6" s="51">
        <v>0</v>
      </c>
      <c r="R6" s="66"/>
      <c r="S6" s="52"/>
      <c r="T6" s="71"/>
      <c r="U6" s="77"/>
      <c r="V6" s="19"/>
      <c r="W6" s="19"/>
    </row>
    <row r="7" spans="1:23" ht="24.6" customHeight="1" x14ac:dyDescent="0.3">
      <c r="A7" s="34">
        <v>4</v>
      </c>
      <c r="B7" s="84" t="s">
        <v>34</v>
      </c>
      <c r="C7" s="14" t="s">
        <v>44</v>
      </c>
      <c r="D7" s="15"/>
      <c r="E7" s="5"/>
      <c r="F7" s="20" t="s">
        <v>6</v>
      </c>
      <c r="G7" s="4">
        <v>5</v>
      </c>
      <c r="H7" s="6"/>
      <c r="I7" s="45"/>
      <c r="J7" s="51">
        <v>0</v>
      </c>
      <c r="K7" s="33"/>
      <c r="L7" s="33"/>
      <c r="M7" s="92"/>
      <c r="N7" s="20"/>
      <c r="O7" s="33"/>
      <c r="P7" s="33"/>
      <c r="Q7" s="53"/>
      <c r="R7" s="53"/>
      <c r="S7" s="52"/>
      <c r="T7" s="52"/>
      <c r="U7" s="74"/>
      <c r="V7" s="19"/>
      <c r="W7" s="19"/>
    </row>
    <row r="8" spans="1:23" ht="24.6" customHeight="1" x14ac:dyDescent="0.3">
      <c r="A8" s="34">
        <v>5</v>
      </c>
      <c r="B8" s="85" t="s">
        <v>39</v>
      </c>
      <c r="C8" s="30" t="s">
        <v>45</v>
      </c>
      <c r="D8" s="37">
        <v>44536</v>
      </c>
      <c r="E8" s="32">
        <v>2</v>
      </c>
      <c r="F8" s="20" t="s">
        <v>24</v>
      </c>
      <c r="G8" s="4">
        <v>5</v>
      </c>
      <c r="H8" s="10">
        <v>162.5</v>
      </c>
      <c r="I8" s="46"/>
      <c r="J8" s="44">
        <f>H8-P8-Q8-R8-S8-T8</f>
        <v>162.5</v>
      </c>
      <c r="K8" s="51"/>
      <c r="L8" s="33"/>
      <c r="M8" s="91"/>
      <c r="N8" s="87">
        <v>5.75</v>
      </c>
      <c r="O8" s="54"/>
      <c r="P8" s="51">
        <v>0</v>
      </c>
      <c r="Q8" s="51">
        <v>0</v>
      </c>
      <c r="R8" s="66"/>
      <c r="S8" s="55"/>
      <c r="T8" s="70"/>
      <c r="U8" s="77"/>
      <c r="V8" s="82"/>
      <c r="W8" s="19"/>
    </row>
    <row r="9" spans="1:23" ht="24.6" customHeight="1" x14ac:dyDescent="0.3">
      <c r="A9" s="34">
        <v>6</v>
      </c>
      <c r="B9" s="85" t="s">
        <v>68</v>
      </c>
      <c r="C9" s="30" t="s">
        <v>43</v>
      </c>
      <c r="D9" s="37">
        <v>45384</v>
      </c>
      <c r="E9" s="32">
        <v>0</v>
      </c>
      <c r="F9" s="2" t="s">
        <v>20</v>
      </c>
      <c r="G9" s="4">
        <v>5</v>
      </c>
      <c r="H9" s="10">
        <v>162.5</v>
      </c>
      <c r="I9" s="46"/>
      <c r="J9" s="44"/>
      <c r="K9" s="51"/>
      <c r="L9" s="33"/>
      <c r="M9" s="91"/>
      <c r="N9" s="87">
        <v>0</v>
      </c>
      <c r="O9" s="54"/>
      <c r="P9" s="51">
        <v>0</v>
      </c>
      <c r="Q9" s="66">
        <v>7.5</v>
      </c>
      <c r="R9" s="66"/>
      <c r="S9" s="55"/>
      <c r="T9" s="70"/>
      <c r="U9" s="77"/>
      <c r="V9" s="19"/>
      <c r="W9" s="19"/>
    </row>
    <row r="10" spans="1:23" ht="24.6" customHeight="1" x14ac:dyDescent="0.3">
      <c r="A10" s="34">
        <v>7</v>
      </c>
      <c r="B10" s="85" t="s">
        <v>54</v>
      </c>
      <c r="C10" s="30" t="s">
        <v>41</v>
      </c>
      <c r="D10" s="37">
        <v>44788</v>
      </c>
      <c r="E10" s="32">
        <v>1</v>
      </c>
      <c r="F10" s="20" t="s">
        <v>24</v>
      </c>
      <c r="G10" s="4">
        <v>5</v>
      </c>
      <c r="H10" s="10">
        <v>162.5</v>
      </c>
      <c r="I10" s="46"/>
      <c r="J10" s="44">
        <f>H10-P10-Q10-R10-S10-T10</f>
        <v>162.5</v>
      </c>
      <c r="K10" s="51"/>
      <c r="L10" s="33"/>
      <c r="M10" s="91"/>
      <c r="N10" s="87">
        <v>10.5</v>
      </c>
      <c r="O10" s="54"/>
      <c r="P10" s="51">
        <v>0</v>
      </c>
      <c r="Q10" s="51">
        <v>0</v>
      </c>
      <c r="R10" s="66"/>
      <c r="S10" s="55"/>
      <c r="T10" s="70">
        <v>0</v>
      </c>
      <c r="U10" s="77"/>
      <c r="V10" s="19"/>
      <c r="W10" s="19"/>
    </row>
    <row r="11" spans="1:23" ht="36.6" x14ac:dyDescent="0.3">
      <c r="A11" s="34">
        <v>8</v>
      </c>
      <c r="B11" s="84" t="s">
        <v>7</v>
      </c>
      <c r="C11" s="14" t="s">
        <v>47</v>
      </c>
      <c r="D11" s="3">
        <v>43435</v>
      </c>
      <c r="E11" s="4">
        <v>5</v>
      </c>
      <c r="F11" s="4" t="s">
        <v>20</v>
      </c>
      <c r="G11" s="4">
        <v>5</v>
      </c>
      <c r="H11" s="10">
        <v>162.5</v>
      </c>
      <c r="I11" s="45"/>
      <c r="J11" s="33"/>
      <c r="K11" s="33"/>
      <c r="L11" s="47">
        <v>100</v>
      </c>
      <c r="M11" s="92"/>
      <c r="N11" s="87">
        <v>0</v>
      </c>
      <c r="O11" s="33">
        <v>0</v>
      </c>
      <c r="P11" s="51">
        <v>0</v>
      </c>
      <c r="Q11" s="51">
        <v>0</v>
      </c>
      <c r="R11" s="66"/>
      <c r="S11" s="33"/>
      <c r="T11" s="70">
        <v>35</v>
      </c>
      <c r="U11" s="77"/>
      <c r="V11" s="82" t="s">
        <v>71</v>
      </c>
      <c r="W11" s="19"/>
    </row>
    <row r="12" spans="1:23" ht="24.6" customHeight="1" x14ac:dyDescent="0.3">
      <c r="A12" s="34">
        <v>9</v>
      </c>
      <c r="B12" s="84" t="s">
        <v>55</v>
      </c>
      <c r="C12" s="14" t="s">
        <v>46</v>
      </c>
      <c r="D12" s="29">
        <v>44935</v>
      </c>
      <c r="E12" s="4">
        <v>1</v>
      </c>
      <c r="F12" s="20" t="s">
        <v>24</v>
      </c>
      <c r="G12" s="32">
        <v>5</v>
      </c>
      <c r="H12" s="36">
        <v>162.5</v>
      </c>
      <c r="I12" s="46"/>
      <c r="J12" s="44">
        <f>H12-P12-Q12-R12-S12-T12</f>
        <v>155</v>
      </c>
      <c r="K12" s="51"/>
      <c r="L12" s="53"/>
      <c r="M12" s="91"/>
      <c r="N12" s="87">
        <v>5</v>
      </c>
      <c r="O12" s="54"/>
      <c r="P12" s="51">
        <v>0</v>
      </c>
      <c r="Q12" s="51">
        <v>7.5</v>
      </c>
      <c r="R12" s="66"/>
      <c r="S12" s="43"/>
      <c r="T12" s="70"/>
      <c r="U12" s="77"/>
      <c r="V12" s="61"/>
      <c r="W12" s="61"/>
    </row>
    <row r="13" spans="1:23" ht="24.6" customHeight="1" x14ac:dyDescent="0.3">
      <c r="A13" s="34">
        <v>10</v>
      </c>
      <c r="B13" s="84" t="s">
        <v>8</v>
      </c>
      <c r="C13" s="14" t="s">
        <v>48</v>
      </c>
      <c r="D13" s="3">
        <v>39904</v>
      </c>
      <c r="E13" s="4">
        <v>14</v>
      </c>
      <c r="F13" s="2" t="s">
        <v>20</v>
      </c>
      <c r="G13" s="4">
        <v>5</v>
      </c>
      <c r="H13" s="11">
        <v>162.5</v>
      </c>
      <c r="I13" s="14">
        <v>2.71</v>
      </c>
      <c r="J13" s="43"/>
      <c r="K13" s="43"/>
      <c r="L13" s="43"/>
      <c r="M13" s="92"/>
      <c r="N13" s="87">
        <v>0</v>
      </c>
      <c r="O13" s="33">
        <v>0</v>
      </c>
      <c r="P13" s="51">
        <v>7.5</v>
      </c>
      <c r="Q13" s="51">
        <v>7.5</v>
      </c>
      <c r="R13" s="66"/>
      <c r="S13" s="51"/>
      <c r="T13" s="72"/>
      <c r="U13" s="78"/>
      <c r="V13" s="19"/>
      <c r="W13" s="19"/>
    </row>
    <row r="14" spans="1:23" ht="24.6" customHeight="1" x14ac:dyDescent="0.3">
      <c r="A14" s="34">
        <v>11</v>
      </c>
      <c r="B14" s="84" t="s">
        <v>10</v>
      </c>
      <c r="C14" s="14" t="s">
        <v>47</v>
      </c>
      <c r="D14" s="3">
        <v>38456</v>
      </c>
      <c r="E14" s="4">
        <v>18</v>
      </c>
      <c r="F14" s="20" t="s">
        <v>21</v>
      </c>
      <c r="G14" s="4">
        <v>5</v>
      </c>
      <c r="H14" s="10">
        <v>108.3</v>
      </c>
      <c r="I14" s="14">
        <v>1.9387209999999999</v>
      </c>
      <c r="J14" s="44">
        <f>H14-P14-Q14-R14-S14-T14</f>
        <v>103.3</v>
      </c>
      <c r="K14" s="51"/>
      <c r="L14" s="33"/>
      <c r="M14" s="87">
        <v>8</v>
      </c>
      <c r="N14" s="20"/>
      <c r="O14" s="51"/>
      <c r="P14" s="51">
        <v>0</v>
      </c>
      <c r="Q14" s="51">
        <v>5</v>
      </c>
      <c r="R14" s="66"/>
      <c r="S14" s="51"/>
      <c r="T14" s="70"/>
      <c r="U14" s="76"/>
      <c r="V14" s="19"/>
      <c r="W14" s="19"/>
    </row>
    <row r="15" spans="1:23" ht="24.6" customHeight="1" x14ac:dyDescent="0.3">
      <c r="A15" s="34">
        <v>12</v>
      </c>
      <c r="B15" s="84" t="s">
        <v>9</v>
      </c>
      <c r="C15" s="14" t="s">
        <v>44</v>
      </c>
      <c r="D15" s="3">
        <v>43045</v>
      </c>
      <c r="E15" s="4">
        <v>5</v>
      </c>
      <c r="F15" s="4" t="s">
        <v>20</v>
      </c>
      <c r="G15" s="4">
        <v>5</v>
      </c>
      <c r="H15" s="10">
        <v>162.5</v>
      </c>
      <c r="I15" s="45"/>
      <c r="J15" s="43"/>
      <c r="K15" s="43"/>
      <c r="L15" s="48">
        <v>100</v>
      </c>
      <c r="M15" s="92"/>
      <c r="N15" s="51">
        <v>7.5</v>
      </c>
      <c r="O15" s="51"/>
      <c r="P15" s="51">
        <v>7.5</v>
      </c>
      <c r="Q15" s="51">
        <v>157.5</v>
      </c>
      <c r="R15" s="66"/>
      <c r="S15" s="33"/>
      <c r="T15" s="72"/>
      <c r="U15" s="77"/>
      <c r="V15" s="19"/>
      <c r="W15" s="19"/>
    </row>
    <row r="16" spans="1:23" ht="24.6" customHeight="1" x14ac:dyDescent="0.3">
      <c r="A16" s="34">
        <v>13</v>
      </c>
      <c r="B16" s="84" t="s">
        <v>11</v>
      </c>
      <c r="C16" s="14" t="s">
        <v>49</v>
      </c>
      <c r="D16" s="3">
        <v>39148</v>
      </c>
      <c r="E16" s="4">
        <v>16</v>
      </c>
      <c r="F16" s="20" t="s">
        <v>21</v>
      </c>
      <c r="G16" s="4">
        <v>5</v>
      </c>
      <c r="H16" s="11">
        <v>130</v>
      </c>
      <c r="I16" s="14">
        <v>2.2504499999999998</v>
      </c>
      <c r="J16" s="44">
        <f t="shared" ref="J16:J17" si="0">H16-P16-Q16-R16-S16-T16</f>
        <v>118</v>
      </c>
      <c r="K16" s="51"/>
      <c r="L16" s="33"/>
      <c r="M16" s="87">
        <v>5</v>
      </c>
      <c r="N16" s="20"/>
      <c r="O16" s="33"/>
      <c r="P16" s="51">
        <v>12</v>
      </c>
      <c r="Q16" s="51">
        <v>0</v>
      </c>
      <c r="R16" s="66"/>
      <c r="S16" s="51"/>
      <c r="T16" s="70"/>
      <c r="U16" s="77"/>
      <c r="V16" s="19"/>
      <c r="W16" s="19"/>
    </row>
    <row r="17" spans="1:23" ht="24.6" customHeight="1" x14ac:dyDescent="0.3">
      <c r="A17" s="34">
        <v>14</v>
      </c>
      <c r="B17" s="84" t="s">
        <v>58</v>
      </c>
      <c r="C17" s="14" t="s">
        <v>59</v>
      </c>
      <c r="D17" s="3">
        <v>45299</v>
      </c>
      <c r="E17" s="4">
        <v>0</v>
      </c>
      <c r="F17" s="20" t="s">
        <v>24</v>
      </c>
      <c r="G17" s="4">
        <v>5</v>
      </c>
      <c r="H17" s="10">
        <v>162.5</v>
      </c>
      <c r="I17" s="46"/>
      <c r="J17" s="44">
        <f t="shared" si="0"/>
        <v>147.5</v>
      </c>
      <c r="K17" s="51"/>
      <c r="L17" s="33"/>
      <c r="M17" s="91"/>
      <c r="N17" s="87">
        <v>1</v>
      </c>
      <c r="O17" s="33"/>
      <c r="P17" s="51">
        <v>0</v>
      </c>
      <c r="Q17" s="51">
        <v>15</v>
      </c>
      <c r="R17" s="66"/>
      <c r="S17" s="33"/>
      <c r="T17" s="70"/>
      <c r="U17" s="77"/>
      <c r="V17" s="19"/>
      <c r="W17" s="19"/>
    </row>
    <row r="18" spans="1:23" ht="24.6" customHeight="1" x14ac:dyDescent="0.3">
      <c r="A18" s="34">
        <v>15</v>
      </c>
      <c r="B18" s="84" t="s">
        <v>13</v>
      </c>
      <c r="C18" s="14" t="s">
        <v>45</v>
      </c>
      <c r="D18" s="3">
        <v>37292</v>
      </c>
      <c r="E18" s="4">
        <v>22</v>
      </c>
      <c r="F18" s="4" t="s">
        <v>20</v>
      </c>
      <c r="G18" s="4">
        <v>5</v>
      </c>
      <c r="H18" s="10">
        <v>162.5</v>
      </c>
      <c r="I18" s="14">
        <v>2.71</v>
      </c>
      <c r="J18" s="43"/>
      <c r="K18" s="43"/>
      <c r="L18" s="43"/>
      <c r="M18" s="92"/>
      <c r="N18" s="87">
        <v>0</v>
      </c>
      <c r="O18" s="51">
        <v>0</v>
      </c>
      <c r="P18" s="51">
        <v>0</v>
      </c>
      <c r="Q18" s="51">
        <v>38</v>
      </c>
      <c r="R18" s="66"/>
      <c r="S18" s="51"/>
      <c r="T18" s="72"/>
      <c r="U18" s="77"/>
      <c r="V18" s="19"/>
      <c r="W18" s="19"/>
    </row>
    <row r="19" spans="1:23" ht="24.6" customHeight="1" x14ac:dyDescent="0.3">
      <c r="A19" s="34">
        <v>16</v>
      </c>
      <c r="B19" s="84" t="s">
        <v>31</v>
      </c>
      <c r="C19" s="14" t="s">
        <v>50</v>
      </c>
      <c r="D19" s="3">
        <v>43770</v>
      </c>
      <c r="E19" s="4">
        <v>3</v>
      </c>
      <c r="F19" s="4" t="s">
        <v>20</v>
      </c>
      <c r="G19" s="4">
        <v>5</v>
      </c>
      <c r="H19" s="10">
        <v>162.5</v>
      </c>
      <c r="I19" s="45"/>
      <c r="J19" s="43"/>
      <c r="K19" s="43"/>
      <c r="L19" s="33"/>
      <c r="M19" s="92"/>
      <c r="N19" s="87">
        <v>0</v>
      </c>
      <c r="O19" s="33">
        <v>0</v>
      </c>
      <c r="P19" s="51">
        <v>0</v>
      </c>
      <c r="Q19" s="51">
        <v>0</v>
      </c>
      <c r="R19" s="66"/>
      <c r="S19" s="33"/>
      <c r="T19" s="72"/>
      <c r="U19" s="77"/>
      <c r="V19" s="19"/>
      <c r="W19" s="19"/>
    </row>
    <row r="20" spans="1:23" ht="24.6" customHeight="1" x14ac:dyDescent="0.3">
      <c r="A20" s="34">
        <v>17</v>
      </c>
      <c r="B20" s="84" t="s">
        <v>12</v>
      </c>
      <c r="C20" s="14" t="s">
        <v>47</v>
      </c>
      <c r="D20" s="3">
        <v>39559</v>
      </c>
      <c r="E20" s="4">
        <v>15</v>
      </c>
      <c r="F20" s="4" t="s">
        <v>20</v>
      </c>
      <c r="G20" s="4">
        <v>5</v>
      </c>
      <c r="H20" s="10">
        <v>162.5</v>
      </c>
      <c r="I20" s="14">
        <v>2.71</v>
      </c>
      <c r="J20" s="43"/>
      <c r="K20" s="43"/>
      <c r="L20" s="43"/>
      <c r="M20" s="92"/>
      <c r="N20" s="51">
        <v>0</v>
      </c>
      <c r="O20" s="33">
        <v>0</v>
      </c>
      <c r="P20" s="51">
        <v>0</v>
      </c>
      <c r="Q20" s="51">
        <v>0</v>
      </c>
      <c r="R20" s="66"/>
      <c r="S20" s="62"/>
      <c r="T20" s="72"/>
      <c r="U20" s="77"/>
      <c r="V20" s="19"/>
      <c r="W20" s="19"/>
    </row>
    <row r="21" spans="1:23" ht="24.6" customHeight="1" x14ac:dyDescent="0.3">
      <c r="A21" s="34">
        <v>18</v>
      </c>
      <c r="B21" s="84" t="s">
        <v>32</v>
      </c>
      <c r="C21" s="14" t="s">
        <v>42</v>
      </c>
      <c r="D21" s="3">
        <v>43647</v>
      </c>
      <c r="E21" s="4">
        <v>4</v>
      </c>
      <c r="F21" s="20" t="s">
        <v>21</v>
      </c>
      <c r="G21" s="4">
        <v>5</v>
      </c>
      <c r="H21" s="11">
        <v>130</v>
      </c>
      <c r="I21" s="49"/>
      <c r="J21" s="44">
        <f>H21-P21-Q21-R21-S21-T21</f>
        <v>124</v>
      </c>
      <c r="K21" s="51">
        <v>600</v>
      </c>
      <c r="L21" s="33"/>
      <c r="M21" s="87"/>
      <c r="N21" s="87"/>
      <c r="O21" s="33"/>
      <c r="P21" s="51">
        <v>6</v>
      </c>
      <c r="Q21" s="51"/>
      <c r="R21" s="66"/>
      <c r="S21" s="33"/>
      <c r="T21" s="70"/>
      <c r="U21" s="77"/>
      <c r="V21" s="19"/>
      <c r="W21" s="19"/>
    </row>
    <row r="22" spans="1:23" ht="24.6" customHeight="1" x14ac:dyDescent="0.3">
      <c r="A22" s="34">
        <v>19</v>
      </c>
      <c r="B22" s="84" t="s">
        <v>26</v>
      </c>
      <c r="C22" s="14" t="s">
        <v>51</v>
      </c>
      <c r="D22" s="29">
        <v>43528</v>
      </c>
      <c r="E22" s="4">
        <v>4</v>
      </c>
      <c r="F22" s="20" t="s">
        <v>24</v>
      </c>
      <c r="G22" s="4">
        <v>5</v>
      </c>
      <c r="H22" s="10">
        <v>162.5</v>
      </c>
      <c r="I22" s="45"/>
      <c r="J22" s="44">
        <f t="shared" ref="J22:J26" si="1">H22-P22-Q22-R22-S22-T22</f>
        <v>155</v>
      </c>
      <c r="K22" s="51"/>
      <c r="L22" s="48">
        <v>100</v>
      </c>
      <c r="M22" s="92"/>
      <c r="N22" s="87">
        <v>0</v>
      </c>
      <c r="O22" s="33">
        <v>0</v>
      </c>
      <c r="P22" s="51"/>
      <c r="Q22" s="51">
        <v>7.5</v>
      </c>
      <c r="R22" s="66"/>
      <c r="S22" s="33"/>
      <c r="T22" s="70"/>
      <c r="U22" s="77"/>
      <c r="V22" s="19"/>
      <c r="W22" s="19"/>
    </row>
    <row r="23" spans="1:23" ht="24.6" customHeight="1" x14ac:dyDescent="0.3">
      <c r="A23" s="34">
        <v>20</v>
      </c>
      <c r="B23" s="84" t="s">
        <v>14</v>
      </c>
      <c r="C23" s="14" t="s">
        <v>41</v>
      </c>
      <c r="D23" s="3">
        <v>42458</v>
      </c>
      <c r="E23" s="4">
        <v>7</v>
      </c>
      <c r="F23" s="4" t="s">
        <v>20</v>
      </c>
      <c r="G23" s="4">
        <v>5</v>
      </c>
      <c r="H23" s="10">
        <v>162.5</v>
      </c>
      <c r="I23" s="45"/>
      <c r="J23" s="44">
        <f t="shared" si="1"/>
        <v>147.5</v>
      </c>
      <c r="K23" s="43"/>
      <c r="L23" s="43"/>
      <c r="M23" s="92"/>
      <c r="N23" s="87">
        <v>0</v>
      </c>
      <c r="O23" s="51">
        <v>0</v>
      </c>
      <c r="P23" s="51">
        <v>15</v>
      </c>
      <c r="Q23" s="51"/>
      <c r="R23" s="66"/>
      <c r="S23" s="33"/>
      <c r="T23" s="72"/>
      <c r="U23" s="77"/>
      <c r="V23" s="19"/>
      <c r="W23" s="19"/>
    </row>
    <row r="24" spans="1:23" ht="24.6" customHeight="1" x14ac:dyDescent="0.3">
      <c r="A24" s="34">
        <v>21</v>
      </c>
      <c r="B24" s="84" t="s">
        <v>60</v>
      </c>
      <c r="C24" s="14" t="s">
        <v>52</v>
      </c>
      <c r="D24" s="3">
        <v>45299</v>
      </c>
      <c r="E24" s="4">
        <v>0</v>
      </c>
      <c r="F24" s="20" t="s">
        <v>24</v>
      </c>
      <c r="G24" s="4">
        <v>5</v>
      </c>
      <c r="H24" s="10">
        <v>162.5</v>
      </c>
      <c r="I24" s="46"/>
      <c r="J24" s="44">
        <f t="shared" si="1"/>
        <v>147.5</v>
      </c>
      <c r="K24" s="51"/>
      <c r="L24" s="33"/>
      <c r="M24" s="91"/>
      <c r="N24" s="87">
        <v>1.4</v>
      </c>
      <c r="O24" s="33"/>
      <c r="P24" s="51">
        <v>15</v>
      </c>
      <c r="Q24" s="51">
        <v>0</v>
      </c>
      <c r="R24" s="51"/>
      <c r="S24" s="33"/>
      <c r="T24" s="70"/>
      <c r="U24" s="77"/>
      <c r="V24" s="75"/>
      <c r="W24" s="19"/>
    </row>
    <row r="25" spans="1:23" ht="24.6" customHeight="1" x14ac:dyDescent="0.3">
      <c r="A25" s="34">
        <v>22</v>
      </c>
      <c r="B25" s="84" t="s">
        <v>15</v>
      </c>
      <c r="C25" s="14" t="s">
        <v>52</v>
      </c>
      <c r="D25" s="3">
        <v>36724</v>
      </c>
      <c r="E25" s="4">
        <v>23</v>
      </c>
      <c r="F25" s="20" t="s">
        <v>21</v>
      </c>
      <c r="G25" s="4">
        <v>3</v>
      </c>
      <c r="H25" s="10">
        <v>97.5</v>
      </c>
      <c r="I25" s="59">
        <v>1.8420350000000001</v>
      </c>
      <c r="J25" s="44">
        <f t="shared" si="1"/>
        <v>97.5</v>
      </c>
      <c r="K25" s="51"/>
      <c r="L25" s="33"/>
      <c r="M25" s="93">
        <v>13</v>
      </c>
      <c r="N25" s="20"/>
      <c r="O25" s="33"/>
      <c r="P25" s="51">
        <v>0</v>
      </c>
      <c r="Q25" s="51">
        <v>0</v>
      </c>
      <c r="R25" s="51"/>
      <c r="S25" s="51"/>
      <c r="T25" s="70"/>
      <c r="U25" s="77"/>
      <c r="V25" s="19"/>
      <c r="W25" s="19"/>
    </row>
    <row r="26" spans="1:23" ht="24.6" customHeight="1" x14ac:dyDescent="0.3">
      <c r="A26" s="34">
        <v>23</v>
      </c>
      <c r="B26" s="85" t="s">
        <v>37</v>
      </c>
      <c r="C26" s="30" t="s">
        <v>44</v>
      </c>
      <c r="D26" s="31">
        <v>44158</v>
      </c>
      <c r="E26" s="32">
        <v>3</v>
      </c>
      <c r="F26" s="20" t="s">
        <v>6</v>
      </c>
      <c r="G26" s="5"/>
      <c r="H26" s="39"/>
      <c r="I26" s="45"/>
      <c r="J26" s="44">
        <f t="shared" si="1"/>
        <v>0</v>
      </c>
      <c r="K26" s="33"/>
      <c r="L26" s="33"/>
      <c r="M26" s="92"/>
      <c r="N26" s="66"/>
      <c r="O26" s="33"/>
      <c r="P26" s="33"/>
      <c r="Q26" s="53"/>
      <c r="R26" s="65"/>
      <c r="S26" s="52"/>
      <c r="T26" s="52"/>
      <c r="U26" s="80"/>
      <c r="V26" s="19"/>
      <c r="W26" s="19"/>
    </row>
    <row r="27" spans="1:23" ht="24.6" customHeight="1" thickBot="1" x14ac:dyDescent="0.35">
      <c r="A27" s="34">
        <v>24</v>
      </c>
      <c r="B27" s="89" t="s">
        <v>38</v>
      </c>
      <c r="C27" s="16" t="s">
        <v>51</v>
      </c>
      <c r="D27" s="7">
        <v>44378</v>
      </c>
      <c r="E27" s="8">
        <v>2</v>
      </c>
      <c r="F27" s="21" t="s">
        <v>24</v>
      </c>
      <c r="G27" s="8">
        <v>5</v>
      </c>
      <c r="H27" s="12">
        <v>162.5</v>
      </c>
      <c r="I27" s="50"/>
      <c r="J27" s="44">
        <f>H27-P27-Q27-R27-S27-T27</f>
        <v>155</v>
      </c>
      <c r="K27" s="60"/>
      <c r="L27" s="56"/>
      <c r="M27" s="94"/>
      <c r="N27" s="88">
        <v>0</v>
      </c>
      <c r="O27" s="57">
        <v>0</v>
      </c>
      <c r="P27" s="60">
        <v>0</v>
      </c>
      <c r="Q27" s="60">
        <v>7.5</v>
      </c>
      <c r="R27" s="60"/>
      <c r="S27" s="57"/>
      <c r="T27" s="73"/>
      <c r="U27" s="79"/>
    </row>
    <row r="28" spans="1:23" x14ac:dyDescent="0.3">
      <c r="A28" s="34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  <c r="U28" s="58"/>
    </row>
    <row r="29" spans="1:23" x14ac:dyDescent="0.3">
      <c r="B29" s="67" t="s">
        <v>63</v>
      </c>
      <c r="J29" s="96">
        <f t="shared" ref="J29:S29" si="2">SUM(J4:J27)</f>
        <v>1877.8</v>
      </c>
      <c r="K29" s="96">
        <f t="shared" si="2"/>
        <v>600</v>
      </c>
      <c r="L29" s="97">
        <f t="shared" si="2"/>
        <v>300</v>
      </c>
      <c r="M29" s="96">
        <f t="shared" si="2"/>
        <v>26</v>
      </c>
      <c r="N29" s="96">
        <f t="shared" si="2"/>
        <v>31.15</v>
      </c>
      <c r="O29" s="96">
        <f t="shared" si="2"/>
        <v>0</v>
      </c>
      <c r="P29" s="96">
        <f t="shared" si="2"/>
        <v>73</v>
      </c>
      <c r="Q29" s="96">
        <f t="shared" si="2"/>
        <v>268</v>
      </c>
      <c r="R29" s="96">
        <f t="shared" si="2"/>
        <v>0</v>
      </c>
      <c r="S29" s="96">
        <f t="shared" si="2"/>
        <v>0</v>
      </c>
      <c r="T29" s="96">
        <f>SUM(T4:T27)</f>
        <v>35</v>
      </c>
      <c r="U29" s="63"/>
    </row>
    <row r="30" spans="1:23" ht="15.6" customHeight="1" x14ac:dyDescent="0.3">
      <c r="B30" s="67" t="s">
        <v>65</v>
      </c>
      <c r="J30">
        <v>1720.63</v>
      </c>
      <c r="K30">
        <v>600</v>
      </c>
      <c r="L30">
        <v>300</v>
      </c>
      <c r="M30">
        <v>25</v>
      </c>
      <c r="N30" s="26">
        <v>51.59</v>
      </c>
      <c r="P30">
        <v>144.5</v>
      </c>
      <c r="Q30">
        <v>100</v>
      </c>
      <c r="R30">
        <v>0</v>
      </c>
      <c r="S30">
        <v>0</v>
      </c>
      <c r="T30">
        <v>35</v>
      </c>
    </row>
    <row r="31" spans="1:23" ht="15.6" customHeight="1" x14ac:dyDescent="0.3">
      <c r="B31" s="68" t="s">
        <v>64</v>
      </c>
      <c r="J31" s="26">
        <f>J29-J30</f>
        <v>157.16999999999985</v>
      </c>
      <c r="K31" s="26">
        <f t="shared" ref="K31:S31" si="3">K29-K30</f>
        <v>0</v>
      </c>
      <c r="L31" s="26">
        <f t="shared" si="3"/>
        <v>0</v>
      </c>
      <c r="M31" s="26">
        <f t="shared" si="3"/>
        <v>1</v>
      </c>
      <c r="N31" s="26">
        <f t="shared" si="3"/>
        <v>-20.440000000000005</v>
      </c>
      <c r="O31" s="26">
        <f t="shared" si="3"/>
        <v>0</v>
      </c>
      <c r="P31" s="26">
        <f t="shared" si="3"/>
        <v>-71.5</v>
      </c>
      <c r="Q31" s="26">
        <f t="shared" si="3"/>
        <v>168</v>
      </c>
      <c r="R31" s="26">
        <f t="shared" si="3"/>
        <v>0</v>
      </c>
      <c r="S31" s="26">
        <f t="shared" si="3"/>
        <v>0</v>
      </c>
      <c r="T31" s="26">
        <f>T29-T30</f>
        <v>0</v>
      </c>
    </row>
    <row r="32" spans="1:23" x14ac:dyDescent="0.3">
      <c r="B32" s="68"/>
    </row>
    <row r="34" spans="2:14" x14ac:dyDescent="0.3">
      <c r="B34" s="22"/>
      <c r="C34" s="22" t="s">
        <v>27</v>
      </c>
      <c r="D34" s="23" t="s">
        <v>28</v>
      </c>
      <c r="J34" s="68"/>
      <c r="K34" s="68"/>
      <c r="L34" s="68"/>
      <c r="M34" s="68"/>
      <c r="N34" s="95"/>
    </row>
    <row r="35" spans="2:14" x14ac:dyDescent="0.3">
      <c r="B35" s="23" t="s">
        <v>29</v>
      </c>
      <c r="C35" s="38" t="s">
        <v>30</v>
      </c>
      <c r="D35" s="23" t="s">
        <v>30</v>
      </c>
      <c r="N35" s="26"/>
    </row>
    <row r="36" spans="2:14" x14ac:dyDescent="0.3">
      <c r="B36" s="24">
        <v>162.5</v>
      </c>
      <c r="C36" s="25">
        <f>B36*7.6923%</f>
        <v>12.499987500000001</v>
      </c>
      <c r="D36" s="25">
        <f>B36*3.84615%</f>
        <v>6.2499937500000007</v>
      </c>
    </row>
    <row r="37" spans="2:14" x14ac:dyDescent="0.3">
      <c r="B37" s="24">
        <v>108.3</v>
      </c>
      <c r="C37" s="25">
        <f>B37*7.6923%</f>
        <v>8.3307608999999996</v>
      </c>
      <c r="D37" s="25">
        <f>B37*3.84615%</f>
        <v>4.1653804499999998</v>
      </c>
    </row>
    <row r="38" spans="2:14" x14ac:dyDescent="0.3">
      <c r="B38" s="24">
        <v>130</v>
      </c>
      <c r="C38" s="25">
        <f t="shared" ref="C38:C41" si="4">B38*7.6923%</f>
        <v>9.9999900000000004</v>
      </c>
      <c r="D38" s="25">
        <f t="shared" ref="D38:D41" si="5">B38*3.84615%</f>
        <v>4.9999950000000002</v>
      </c>
    </row>
    <row r="39" spans="2:14" x14ac:dyDescent="0.3">
      <c r="B39" s="24">
        <v>97.5</v>
      </c>
      <c r="C39" s="25">
        <f t="shared" si="4"/>
        <v>7.4999925000000003</v>
      </c>
      <c r="D39" s="25">
        <f t="shared" si="5"/>
        <v>3.7499962500000001</v>
      </c>
    </row>
    <row r="40" spans="2:14" x14ac:dyDescent="0.3">
      <c r="B40" s="24">
        <v>78</v>
      </c>
      <c r="C40" s="25">
        <f t="shared" si="4"/>
        <v>5.999994</v>
      </c>
      <c r="D40" s="25">
        <f t="shared" si="5"/>
        <v>2.999997</v>
      </c>
    </row>
    <row r="41" spans="2:14" x14ac:dyDescent="0.3">
      <c r="B41" s="24">
        <v>65</v>
      </c>
      <c r="C41" s="25">
        <f t="shared" si="4"/>
        <v>4.9999950000000002</v>
      </c>
      <c r="D41" s="25">
        <f t="shared" si="5"/>
        <v>2.4999975000000001</v>
      </c>
    </row>
    <row r="42" spans="2:14" x14ac:dyDescent="0.3">
      <c r="D42" s="26"/>
    </row>
  </sheetData>
  <mergeCells count="1">
    <mergeCell ref="B3:C3"/>
  </mergeCells>
  <pageMargins left="0.23622047244094491" right="0.23622047244094491" top="0.74803149606299213" bottom="0.74803149606299213" header="0.31496062992125984" footer="0.31496062992125984"/>
  <pageSetup paperSize="9" scale="77" fitToHeight="0" orientation="landscape" horizontalDpi="4294967293" r:id="rId1"/>
  <headerFooter>
    <oddFooter>&amp;R&amp;P of &amp;N</oddFooter>
  </headerFooter>
  <rowBreaks count="1" manualBreakCount="1">
    <brk id="24" max="2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Generate">
                <anchor moveWithCells="1" sizeWithCells="1">
                  <from>
                    <xdr:col>21</xdr:col>
                    <xdr:colOff>144780</xdr:colOff>
                    <xdr:row>2</xdr:row>
                    <xdr:rowOff>137160</xdr:rowOff>
                  </from>
                  <to>
                    <xdr:col>23</xdr:col>
                    <xdr:colOff>502920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Main</vt:lpstr>
      <vt:lpstr>Main!Print_Titles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bruleo</dc:creator>
  <cp:lastModifiedBy>Edward Jon Arquiza</cp:lastModifiedBy>
  <cp:lastPrinted>2022-06-22T01:36:44Z</cp:lastPrinted>
  <dcterms:created xsi:type="dcterms:W3CDTF">2019-01-16T06:37:26Z</dcterms:created>
  <dcterms:modified xsi:type="dcterms:W3CDTF">2024-06-27T00:52:47Z</dcterms:modified>
</cp:coreProperties>
</file>